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/>
  <mc:AlternateContent xmlns:mc="http://schemas.openxmlformats.org/markup-compatibility/2006">
    <mc:Choice Requires="x15">
      <x15ac:absPath xmlns:x15ac="http://schemas.microsoft.com/office/spreadsheetml/2010/11/ac" url="/Users/abubakry/Downloads/"/>
    </mc:Choice>
  </mc:AlternateContent>
  <xr:revisionPtr revIDLastSave="0" documentId="13_ncr:1_{B913EA0D-C573-8C4C-B3C5-681282E6C5BE}" xr6:coauthVersionLast="47" xr6:coauthVersionMax="47" xr10:uidLastSave="{00000000-0000-0000-0000-000000000000}"/>
  <bookViews>
    <workbookView xWindow="30240" yWindow="0" windowWidth="38400" windowHeight="21600" xr2:uid="{00000000-000D-0000-FFFF-FFFF00000000}"/>
  </bookViews>
  <sheets>
    <sheet name="Offer Calculat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1" l="1"/>
  <c r="D25" i="1" s="1"/>
  <c r="C24" i="1"/>
  <c r="D24" i="1" s="1"/>
  <c r="C23" i="1"/>
  <c r="D23" i="1" s="1"/>
  <c r="C15" i="1"/>
  <c r="C16" i="1" l="1"/>
  <c r="C17" i="1" s="1"/>
  <c r="C18" i="1" s="1"/>
  <c r="C19" i="1" l="1"/>
</calcChain>
</file>

<file path=xl/sharedStrings.xml><?xml version="1.0" encoding="utf-8"?>
<sst xmlns="http://schemas.openxmlformats.org/spreadsheetml/2006/main" count="39" uniqueCount="39">
  <si>
    <t>1‑Page Offer Calculator (Wholesaling / Flip)</t>
  </si>
  <si>
    <t>Deal Inputs</t>
  </si>
  <si>
    <t>ARV (After Repair Value)</t>
  </si>
  <si>
    <t>enter best ARV guess</t>
  </si>
  <si>
    <t>Repairs (estimate)</t>
  </si>
  <si>
    <t>use Light/Med/Heavy estimate</t>
  </si>
  <si>
    <t>Assignment Fee Target</t>
  </si>
  <si>
    <t>what you want to make</t>
  </si>
  <si>
    <t>Rule % (e.g., 70%)</t>
  </si>
  <si>
    <t>default 70% for flips</t>
  </si>
  <si>
    <t>Extra Buffer (holding/closing)</t>
  </si>
  <si>
    <t>optional safety cushion</t>
  </si>
  <si>
    <t>Offer Override (optional)</t>
  </si>
  <si>
    <t/>
  </si>
  <si>
    <t>leave blank to use MAO</t>
  </si>
  <si>
    <t>Rehab Level (Light/Med/Heavy)</t>
  </si>
  <si>
    <t>optional note only</t>
  </si>
  <si>
    <t>Outputs</t>
  </si>
  <si>
    <t>Flipper MAO (Rule% × ARV − Repairs − Buffer)</t>
  </si>
  <si>
    <t>what a flipper can pay (before your fee)</t>
  </si>
  <si>
    <t>Your MAO (Flipper MAO − Assignment Fee)</t>
  </si>
  <si>
    <t>max contract price for your fee</t>
  </si>
  <si>
    <t>Offer to Submit (Override if set)</t>
  </si>
  <si>
    <t>this is the number you send</t>
  </si>
  <si>
    <t>Available Equity (ARV − Repairs − Offer)</t>
  </si>
  <si>
    <t>gross margin before holding/financing</t>
  </si>
  <si>
    <t>Max Assignable Room (Flipper MAO − Offer)</t>
  </si>
  <si>
    <t>how much room buyer has at your price</t>
  </si>
  <si>
    <t>Quick Sensitivity (ARV ±10%)</t>
  </si>
  <si>
    <t>Scenario</t>
  </si>
  <si>
    <t>ARV</t>
  </si>
  <si>
    <t>Offer Guidance (MAO)</t>
  </si>
  <si>
    <t>ARV -10%</t>
  </si>
  <si>
    <t>Base</t>
  </si>
  <si>
    <t>ARV +10%</t>
  </si>
  <si>
    <t>Rules (keep it fast)</t>
  </si>
  <si>
    <t>1) If Comp Quality Score &lt; 60 → don’t stretch the ARV; offer off ARV Low or skip.
2) Submit offers daily. One counter max. Follow up weekly.
3) This sheet is a calculator, not a debate tool. Volume wins.</t>
  </si>
  <si>
    <t>Heavy</t>
  </si>
  <si>
    <t>Inputs (blue) → Outputs (white). Use as a fast MAO + offer guide.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</si>
</sst>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0.0%"/>
  </numFmts>
  <fonts count="7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sz val="10"/>
      <color rgb="FFAAB7D9"/>
      <name val="Calibri"/>
      <family val="2"/>
    </font>
    <font>
      <b/>
      <sz val="12"/>
      <color rgb="FFFFFFFF"/>
      <name val="Calibri"/>
      <family val="2"/>
    </font>
    <font>
      <b/>
      <sz val="11"/>
      <color rgb="FFDCE6FF"/>
      <name val="Calibri"/>
      <family val="2"/>
    </font>
    <font>
      <b/>
      <sz val="11"/>
      <color rgb="FF0000FF"/>
      <name val="Calibri"/>
      <family val="2"/>
    </font>
    <font>
      <b/>
      <sz val="11"/>
      <color rgb="FFFFFFFF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B1020"/>
      </patternFill>
    </fill>
    <fill>
      <patternFill patternType="solid">
        <fgColor rgb="FF1A2B5B"/>
      </patternFill>
    </fill>
    <fill>
      <patternFill patternType="solid">
        <fgColor rgb="FF111A33"/>
      </patternFill>
    </fill>
    <fill>
      <patternFill patternType="solid">
        <fgColor rgb="FF13224A"/>
      </patternFill>
    </fill>
    <fill>
      <patternFill patternType="solid">
        <fgColor rgb="FF0F1730"/>
      </patternFill>
    </fill>
    <fill>
      <patternFill patternType="solid">
        <fgColor rgb="FF0E1F3F"/>
      </patternFill>
    </fill>
  </fills>
  <borders count="3">
    <border>
      <left/>
      <right/>
      <top/>
      <bottom/>
      <diagonal/>
    </border>
    <border>
      <left style="thin">
        <color rgb="FF2A3A6A"/>
      </left>
      <right style="thin">
        <color rgb="FF2A3A6A"/>
      </right>
      <top style="thin">
        <color rgb="FF2A3A6A"/>
      </top>
      <bottom style="thin">
        <color rgb="FF2A3A6A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2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0" fillId="2" borderId="2" xfId="0" applyFill="1" applyBorder="1"/>
    <xf numFmtId="165" fontId="5" fillId="6" borderId="1" xfId="0" applyNumberFormat="1" applyFont="1" applyFill="1" applyBorder="1" applyAlignment="1">
      <alignment horizontal="right" vertical="center"/>
    </xf>
    <xf numFmtId="49" fontId="5" fillId="6" borderId="1" xfId="0" applyNumberFormat="1" applyFont="1" applyFill="1" applyBorder="1" applyAlignment="1">
      <alignment horizontal="right" vertical="center"/>
    </xf>
    <xf numFmtId="164" fontId="6" fillId="7" borderId="1" xfId="0" applyNumberFormat="1" applyFont="1" applyFill="1" applyBorder="1" applyAlignment="1">
      <alignment horizontal="right" vertical="center"/>
    </xf>
    <xf numFmtId="0" fontId="6" fillId="3" borderId="1" xfId="0" applyFont="1" applyFill="1" applyBorder="1" applyAlignment="1">
      <alignment horizontal="center" vertical="center"/>
    </xf>
    <xf numFmtId="164" fontId="6" fillId="6" borderId="1" xfId="0" applyNumberFormat="1" applyFont="1" applyFill="1" applyBorder="1" applyAlignment="1">
      <alignment horizontal="right" vertical="center"/>
    </xf>
    <xf numFmtId="0" fontId="2" fillId="6" borderId="1" xfId="0" applyFont="1" applyFill="1" applyBorder="1" applyAlignment="1">
      <alignment horizontal="left" vertical="top" wrapText="1"/>
    </xf>
    <xf numFmtId="0" fontId="0" fillId="6" borderId="1" xfId="0" applyFill="1" applyBorder="1"/>
    <xf numFmtId="0" fontId="0" fillId="0" borderId="0" xfId="0"/>
    <xf numFmtId="0" fontId="3" fillId="5" borderId="1" xfId="0" applyFont="1" applyFill="1" applyBorder="1" applyAlignment="1">
      <alignment horizontal="left" vertical="center"/>
    </xf>
    <xf numFmtId="0" fontId="0" fillId="5" borderId="1" xfId="0" applyFill="1" applyBorder="1"/>
    <xf numFmtId="0" fontId="2" fillId="4" borderId="1" xfId="0" applyFont="1" applyFill="1" applyBorder="1" applyAlignment="1">
      <alignment horizontal="left" vertical="center"/>
    </xf>
    <xf numFmtId="0" fontId="0" fillId="4" borderId="1" xfId="0" applyFill="1" applyBorder="1"/>
    <xf numFmtId="0" fontId="1" fillId="3" borderId="1" xfId="0" applyFont="1" applyFill="1" applyBorder="1" applyAlignment="1">
      <alignment horizontal="left" vertical="center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showGridLines="0" tabSelected="1" zoomScale="150" zoomScaleNormal="150" workbookViewId="0">
      <selection activeCell="B3" sqref="B3:E3"/>
    </sheetView>
  </sheetViews>
  <sheetFormatPr baseColWidth="10" defaultColWidth="8.83203125" defaultRowHeight="15" x14ac:dyDescent="0.2"/>
  <cols>
    <col min="1" max="1" width="3" customWidth="1"/>
    <col min="2" max="2" width="36.6640625" bestFit="1" customWidth="1"/>
    <col min="3" max="3" width="8.6640625" bestFit="1" customWidth="1"/>
    <col min="4" max="4" width="27.6640625" bestFit="1" customWidth="1"/>
    <col min="5" max="5" width="16" customWidth="1"/>
    <col min="6" max="6" width="3" customWidth="1"/>
  </cols>
  <sheetData>
    <row r="1" spans="1:5" x14ac:dyDescent="0.2">
      <c r="A1" s="1"/>
      <c r="B1" s="1"/>
      <c r="C1" s="1"/>
      <c r="D1" s="1"/>
      <c r="E1" s="1"/>
    </row>
    <row r="2" spans="1:5" ht="28" customHeight="1" x14ac:dyDescent="0.2">
      <c r="A2" s="1"/>
      <c r="B2" s="18" t="s">
        <v>0</v>
      </c>
      <c r="C2" s="19"/>
      <c r="D2" s="19"/>
      <c r="E2" s="19"/>
    </row>
    <row r="3" spans="1:5" ht="20" customHeight="1" x14ac:dyDescent="0.2">
      <c r="A3" s="1"/>
      <c r="B3" s="16" t="s">
        <v>38</v>
      </c>
      <c r="C3" s="17"/>
      <c r="D3" s="17"/>
      <c r="E3" s="17"/>
    </row>
    <row r="4" spans="1:5" x14ac:dyDescent="0.2">
      <c r="A4" s="1"/>
      <c r="B4" s="1"/>
      <c r="C4" s="1"/>
      <c r="D4" s="1"/>
      <c r="E4" s="1"/>
    </row>
    <row r="5" spans="1:5" ht="20" customHeight="1" x14ac:dyDescent="0.2">
      <c r="A5" s="1"/>
      <c r="B5" s="14" t="s">
        <v>1</v>
      </c>
      <c r="C5" s="15"/>
      <c r="D5" s="15"/>
      <c r="E5" s="15"/>
    </row>
    <row r="6" spans="1:5" ht="20" customHeight="1" x14ac:dyDescent="0.2">
      <c r="A6" s="1"/>
      <c r="B6" s="3" t="s">
        <v>2</v>
      </c>
      <c r="C6" s="4">
        <v>350000</v>
      </c>
      <c r="D6" s="2" t="s">
        <v>3</v>
      </c>
      <c r="E6" s="5"/>
    </row>
    <row r="7" spans="1:5" ht="20" customHeight="1" x14ac:dyDescent="0.2">
      <c r="A7" s="1"/>
      <c r="B7" s="3" t="s">
        <v>4</v>
      </c>
      <c r="C7" s="4">
        <v>80000</v>
      </c>
      <c r="D7" s="2" t="s">
        <v>5</v>
      </c>
      <c r="E7" s="5"/>
    </row>
    <row r="8" spans="1:5" ht="20" customHeight="1" x14ac:dyDescent="0.2">
      <c r="A8" s="1"/>
      <c r="B8" s="3" t="s">
        <v>6</v>
      </c>
      <c r="C8" s="4">
        <v>15000</v>
      </c>
      <c r="D8" s="2" t="s">
        <v>7</v>
      </c>
      <c r="E8" s="5"/>
    </row>
    <row r="9" spans="1:5" ht="20" customHeight="1" x14ac:dyDescent="0.2">
      <c r="A9" s="1"/>
      <c r="B9" s="3" t="s">
        <v>8</v>
      </c>
      <c r="C9" s="6">
        <v>0.7</v>
      </c>
      <c r="D9" s="2" t="s">
        <v>9</v>
      </c>
      <c r="E9" s="5"/>
    </row>
    <row r="10" spans="1:5" ht="20" customHeight="1" x14ac:dyDescent="0.2">
      <c r="A10" s="1"/>
      <c r="B10" s="3" t="s">
        <v>10</v>
      </c>
      <c r="C10" s="4">
        <v>0</v>
      </c>
      <c r="D10" s="2" t="s">
        <v>11</v>
      </c>
      <c r="E10" s="5"/>
    </row>
    <row r="11" spans="1:5" ht="20" customHeight="1" x14ac:dyDescent="0.2">
      <c r="A11" s="1"/>
      <c r="B11" s="3" t="s">
        <v>12</v>
      </c>
      <c r="C11" s="4" t="s">
        <v>13</v>
      </c>
      <c r="D11" s="2" t="s">
        <v>14</v>
      </c>
      <c r="E11" s="5"/>
    </row>
    <row r="12" spans="1:5" ht="20" customHeight="1" x14ac:dyDescent="0.2">
      <c r="A12" s="1"/>
      <c r="B12" s="3" t="s">
        <v>15</v>
      </c>
      <c r="C12" s="7" t="s">
        <v>37</v>
      </c>
      <c r="D12" s="2" t="s">
        <v>16</v>
      </c>
      <c r="E12" s="5"/>
    </row>
    <row r="13" spans="1:5" ht="20" customHeight="1" x14ac:dyDescent="0.2">
      <c r="A13" s="1"/>
      <c r="B13" s="1"/>
      <c r="C13" s="1"/>
      <c r="D13" s="1"/>
      <c r="E13" s="1"/>
    </row>
    <row r="14" spans="1:5" ht="20" customHeight="1" x14ac:dyDescent="0.2">
      <c r="A14" s="1"/>
      <c r="B14" s="14" t="s">
        <v>17</v>
      </c>
      <c r="C14" s="15"/>
      <c r="D14" s="15"/>
      <c r="E14" s="15"/>
    </row>
    <row r="15" spans="1:5" ht="20" customHeight="1" x14ac:dyDescent="0.2">
      <c r="A15" s="1"/>
      <c r="B15" s="3" t="s">
        <v>18</v>
      </c>
      <c r="C15" s="8">
        <f>($C$9*$C$6)-$C$7-$C$10</f>
        <v>164999.99999999997</v>
      </c>
      <c r="D15" s="2" t="s">
        <v>19</v>
      </c>
      <c r="E15" s="1"/>
    </row>
    <row r="16" spans="1:5" ht="20" customHeight="1" x14ac:dyDescent="0.2">
      <c r="A16" s="1"/>
      <c r="B16" s="3" t="s">
        <v>20</v>
      </c>
      <c r="C16" s="8">
        <f>$C$15-$C$8</f>
        <v>149999.99999999997</v>
      </c>
      <c r="D16" s="2" t="s">
        <v>21</v>
      </c>
      <c r="E16" s="1"/>
    </row>
    <row r="17" spans="1:5" ht="20" customHeight="1" x14ac:dyDescent="0.2">
      <c r="A17" s="1"/>
      <c r="B17" s="3" t="s">
        <v>22</v>
      </c>
      <c r="C17" s="8">
        <f>IF($C$11="",$C$16,$C$11)</f>
        <v>149999.99999999997</v>
      </c>
      <c r="D17" s="2" t="s">
        <v>23</v>
      </c>
      <c r="E17" s="1"/>
    </row>
    <row r="18" spans="1:5" ht="20" customHeight="1" x14ac:dyDescent="0.2">
      <c r="A18" s="1"/>
      <c r="B18" s="3" t="s">
        <v>24</v>
      </c>
      <c r="C18" s="8">
        <f>$C$6-$C$7-$C$17</f>
        <v>120000.00000000003</v>
      </c>
      <c r="D18" s="2" t="s">
        <v>25</v>
      </c>
      <c r="E18" s="1"/>
    </row>
    <row r="19" spans="1:5" ht="20" customHeight="1" x14ac:dyDescent="0.2">
      <c r="A19" s="1"/>
      <c r="B19" s="3" t="s">
        <v>26</v>
      </c>
      <c r="C19" s="8">
        <f>$C$15-$C$17</f>
        <v>15000</v>
      </c>
      <c r="D19" s="2" t="s">
        <v>27</v>
      </c>
      <c r="E19" s="1"/>
    </row>
    <row r="20" spans="1:5" ht="20" customHeight="1" x14ac:dyDescent="0.2">
      <c r="A20" s="1"/>
      <c r="B20" s="1"/>
      <c r="C20" s="1"/>
      <c r="D20" s="1"/>
      <c r="E20" s="1"/>
    </row>
    <row r="21" spans="1:5" ht="20" customHeight="1" x14ac:dyDescent="0.2">
      <c r="A21" s="1"/>
      <c r="B21" s="14" t="s">
        <v>28</v>
      </c>
      <c r="C21" s="15"/>
      <c r="D21" s="15"/>
      <c r="E21" s="15"/>
    </row>
    <row r="22" spans="1:5" ht="20" customHeight="1" x14ac:dyDescent="0.2">
      <c r="A22" s="1"/>
      <c r="B22" s="9" t="s">
        <v>29</v>
      </c>
      <c r="C22" s="9" t="s">
        <v>30</v>
      </c>
      <c r="D22" s="9" t="s">
        <v>31</v>
      </c>
      <c r="E22" s="1"/>
    </row>
    <row r="23" spans="1:5" ht="20" customHeight="1" x14ac:dyDescent="0.2">
      <c r="A23" s="1"/>
      <c r="B23" s="3" t="s">
        <v>32</v>
      </c>
      <c r="C23" s="10">
        <f>$C$6*0.9</f>
        <v>315000</v>
      </c>
      <c r="D23" s="8">
        <f>($C$9*$C$23)-$C$7-$C$10-$C$8</f>
        <v>125500</v>
      </c>
      <c r="E23" s="1"/>
    </row>
    <row r="24" spans="1:5" ht="20" customHeight="1" x14ac:dyDescent="0.2">
      <c r="A24" s="1"/>
      <c r="B24" s="3" t="s">
        <v>33</v>
      </c>
      <c r="C24" s="10">
        <f>$C$6</f>
        <v>350000</v>
      </c>
      <c r="D24" s="8">
        <f>($C$9*$C$24)-$C$7-$C$10-$C$8</f>
        <v>149999.99999999997</v>
      </c>
      <c r="E24" s="1"/>
    </row>
    <row r="25" spans="1:5" ht="20" customHeight="1" x14ac:dyDescent="0.2">
      <c r="A25" s="1"/>
      <c r="B25" s="3" t="s">
        <v>34</v>
      </c>
      <c r="C25" s="10">
        <f>$C$6*1.1</f>
        <v>385000.00000000006</v>
      </c>
      <c r="D25" s="8">
        <f>($C$9*$C$25)-$C$7-$C$10-$C$8</f>
        <v>174500</v>
      </c>
      <c r="E25" s="1"/>
    </row>
    <row r="26" spans="1:5" ht="20" customHeight="1" x14ac:dyDescent="0.2">
      <c r="A26" s="1"/>
      <c r="B26" s="1"/>
      <c r="C26" s="1"/>
      <c r="D26" s="1"/>
      <c r="E26" s="1"/>
    </row>
    <row r="27" spans="1:5" ht="20" customHeight="1" x14ac:dyDescent="0.2">
      <c r="A27" s="1"/>
      <c r="B27" s="14" t="s">
        <v>35</v>
      </c>
      <c r="C27" s="15"/>
      <c r="D27" s="15"/>
      <c r="E27" s="15"/>
    </row>
    <row r="28" spans="1:5" ht="64" customHeight="1" x14ac:dyDescent="0.2">
      <c r="A28" s="1"/>
      <c r="B28" s="11" t="s">
        <v>36</v>
      </c>
      <c r="C28" s="12"/>
      <c r="D28" s="12"/>
      <c r="E28" s="12"/>
    </row>
    <row r="29" spans="1:5" ht="20" customHeight="1" x14ac:dyDescent="0.2">
      <c r="A29" s="1"/>
      <c r="B29" s="13"/>
      <c r="C29" s="13"/>
      <c r="D29" s="13"/>
      <c r="E29" s="13"/>
    </row>
    <row r="30" spans="1:5" ht="20" customHeight="1" x14ac:dyDescent="0.2">
      <c r="A30" s="1"/>
      <c r="B30" s="13"/>
      <c r="C30" s="13"/>
      <c r="D30" s="13"/>
      <c r="E30" s="13"/>
    </row>
    <row r="31" spans="1:5" ht="20" customHeight="1" x14ac:dyDescent="0.2">
      <c r="A31" s="1"/>
      <c r="B31" s="13"/>
      <c r="C31" s="13"/>
      <c r="D31" s="13"/>
      <c r="E31" s="13"/>
    </row>
    <row r="32" spans="1:5" x14ac:dyDescent="0.2">
      <c r="A32" s="1"/>
      <c r="B32" s="1"/>
      <c r="C32" s="1"/>
      <c r="D32" s="1"/>
      <c r="E32" s="1"/>
    </row>
    <row r="33" spans="1:5" x14ac:dyDescent="0.2">
      <c r="A33" s="1"/>
      <c r="B33" s="1"/>
      <c r="C33" s="1"/>
      <c r="D33" s="1"/>
      <c r="E33" s="1"/>
    </row>
    <row r="34" spans="1:5" x14ac:dyDescent="0.2">
      <c r="A34" s="1"/>
      <c r="B34" s="1"/>
      <c r="C34" s="1"/>
      <c r="D34" s="1"/>
      <c r="E34" s="1"/>
    </row>
    <row r="35" spans="1:5" x14ac:dyDescent="0.2">
      <c r="A35" s="1"/>
      <c r="B35" s="1"/>
      <c r="C35" s="1"/>
      <c r="D35" s="1"/>
      <c r="E35" s="1"/>
    </row>
  </sheetData>
  <mergeCells count="7">
    <mergeCell ref="B2:E2"/>
    <mergeCell ref="B14:E14"/>
    <mergeCell ref="B28:E31"/>
    <mergeCell ref="B27:E27"/>
    <mergeCell ref="B21:E21"/>
    <mergeCell ref="B3:E3"/>
    <mergeCell ref="B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Offer Calculator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Adedayo Odugbesan</cp:lastModifiedBy>
  <dcterms:modified xsi:type="dcterms:W3CDTF">2026-02-09T17:16:01Z</dcterms:modified>
</cp:coreProperties>
</file>